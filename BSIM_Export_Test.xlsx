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 Seek - Break Even" sheetId="1" state="visible" r:id="rId1"/>
    <sheet xmlns:r="http://schemas.openxmlformats.org/officeDocument/2006/relationships" name="Data Table -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2E4057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i val="1"/>
      <color rgb="00888888"/>
      <sz val="9"/>
    </font>
    <font>
      <name val="Arial"/>
      <b val="1"/>
      <color rgb="002E4057"/>
      <sz val="10"/>
    </font>
    <font>
      <name val="Arial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90D9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D4EFDF"/>
      </patternFill>
    </fill>
    <fill>
      <patternFill patternType="solid">
        <fgColor rgb="00EBF3FB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</cols>
  <sheetData>
    <row r="1" ht="28" customHeight="1">
      <c r="A1" s="1" t="inlineStr">
        <is>
          <t>BSIM Scenario Analysis — Goal Seek: Break Even</t>
        </is>
      </c>
    </row>
    <row r="2">
      <c r="A2" s="2" t="inlineStr">
        <is>
          <t>Source: 36 Month Pro Forma — FY1 Data  |  AD715 BSIM Project</t>
        </is>
      </c>
    </row>
    <row r="4">
      <c r="A4" s="3" t="inlineStr">
        <is>
          <t>INPUTS  (blue = hardcoded, change to test scenarios)</t>
        </is>
      </c>
    </row>
    <row r="5">
      <c r="A5" s="4" t="inlineStr">
        <is>
          <t>Total Fixed Cost FY1 ($)</t>
        </is>
      </c>
      <c r="B5" s="5" t="n">
        <v>999999</v>
      </c>
    </row>
    <row r="6">
      <c r="A6" s="4" t="inlineStr">
        <is>
          <t>Variable Cost per Pint ($)</t>
        </is>
      </c>
      <c r="B6" s="5" t="n">
        <v>0.92</v>
      </c>
    </row>
    <row r="7">
      <c r="A7" s="4" t="inlineStr">
        <is>
          <t>Average Revenue per Pint ($)</t>
        </is>
      </c>
      <c r="B7" s="5" t="n">
        <v>3.62</v>
      </c>
    </row>
    <row r="9">
      <c r="A9" s="3" t="inlineStr">
        <is>
          <t>CALCULATIONS  (black = formula)</t>
        </is>
      </c>
    </row>
    <row r="10">
      <c r="A10" s="4" t="inlineStr">
        <is>
          <t>Total Quantity Sold (pints)</t>
        </is>
      </c>
      <c r="B10" s="6" t="n">
        <v>2344334</v>
      </c>
      <c r="C10" s="7" t="inlineStr">
        <is>
          <t>← Change this cell in Goal Seek (green)</t>
        </is>
      </c>
    </row>
    <row r="11">
      <c r="A11" s="4" t="inlineStr">
        <is>
          <t>Total Revenue ($)</t>
        </is>
      </c>
      <c r="B11" s="8">
        <f>B7*B10</f>
        <v/>
      </c>
      <c r="C11" s="7" t="inlineStr">
        <is>
          <t>Avg Price x Quantity</t>
        </is>
      </c>
    </row>
    <row r="12">
      <c r="A12" s="4" t="inlineStr">
        <is>
          <t>Total Variable Cost ($)</t>
        </is>
      </c>
      <c r="B12" s="8">
        <f>B6*B10</f>
        <v/>
      </c>
      <c r="C12" s="7" t="inlineStr">
        <is>
          <t>Var Cost x Quantity</t>
        </is>
      </c>
    </row>
    <row r="13">
      <c r="A13" s="4" t="inlineStr">
        <is>
          <t>Total Contribution ($)</t>
        </is>
      </c>
      <c r="B13" s="8">
        <f>B11-B12</f>
        <v/>
      </c>
      <c r="C13" s="7" t="inlineStr">
        <is>
          <t>Revenue minus Variable Cost</t>
        </is>
      </c>
    </row>
    <row r="14">
      <c r="A14" s="4" t="inlineStr">
        <is>
          <t>Total Fixed Cost ($)</t>
        </is>
      </c>
      <c r="B14" s="8">
        <f>B5</f>
        <v/>
      </c>
      <c r="C14" s="7" t="inlineStr">
        <is>
          <t>From inputs above</t>
        </is>
      </c>
    </row>
    <row r="15">
      <c r="A15" s="4" t="inlineStr">
        <is>
          <t>Gross Profit ($)</t>
        </is>
      </c>
      <c r="B15" s="9">
        <f>B13-B14</f>
        <v/>
      </c>
      <c r="C15" s="7" t="inlineStr">
        <is>
          <t>← Set this to 0 in Goal Seek (red)</t>
        </is>
      </c>
    </row>
    <row r="16">
      <c r="A16" s="4" t="inlineStr">
        <is>
          <t>Tax (21%)</t>
        </is>
      </c>
      <c r="B16" s="8">
        <f>IF(B15&gt;0,B15*0.21,0)</f>
        <v/>
      </c>
    </row>
    <row r="17">
      <c r="A17" s="4" t="inlineStr">
        <is>
          <t>Net Profit ($)</t>
        </is>
      </c>
      <c r="B17" s="8">
        <f>B15-B16</f>
        <v/>
      </c>
    </row>
    <row r="19" ht="24" customHeight="1">
      <c r="A19" s="10" t="inlineStr">
        <is>
          <t>HOW TO RUN GOAL SEEK</t>
        </is>
      </c>
    </row>
    <row r="20">
      <c r="A20" s="11" t="inlineStr">
        <is>
          <t>Step 1</t>
        </is>
      </c>
      <c r="B20" s="12" t="inlineStr">
        <is>
          <t>Click on cell B15 (Gross Profit — highlighted red)</t>
        </is>
      </c>
    </row>
    <row r="21">
      <c r="A21" s="11" t="inlineStr">
        <is>
          <t>Step 2</t>
        </is>
      </c>
      <c r="B21" s="12" t="inlineStr">
        <is>
          <t>Go to Data tab → What-If Analysis → Goal Seek</t>
        </is>
      </c>
    </row>
    <row r="22">
      <c r="A22" s="11" t="inlineStr">
        <is>
          <t>Step 3</t>
        </is>
      </c>
      <c r="B22" s="12" t="inlineStr">
        <is>
          <t>Set cell: B15  |  To value: 0  |  By changing cell: B10</t>
        </is>
      </c>
    </row>
    <row r="23">
      <c r="A23" s="11" t="inlineStr">
        <is>
          <t>Step 4</t>
        </is>
      </c>
      <c r="B23" s="12" t="inlineStr">
        <is>
          <t>Click OK — Excel will find the break even quantity</t>
        </is>
      </c>
    </row>
    <row r="24">
      <c r="A24" s="11" t="inlineStr">
        <is>
          <t>Step 5</t>
        </is>
      </c>
      <c r="B24" s="12" t="inlineStr">
        <is>
          <t>Note the break even quantity and compare to your actual FY1 quantity</t>
        </is>
      </c>
    </row>
  </sheetData>
  <mergeCells count="10">
    <mergeCell ref="B21:C21"/>
    <mergeCell ref="A19:C19"/>
    <mergeCell ref="B24:C24"/>
    <mergeCell ref="A1:C1"/>
    <mergeCell ref="B20:C20"/>
    <mergeCell ref="B23:C23"/>
    <mergeCell ref="A9:C9"/>
    <mergeCell ref="B22:C2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BSIM Sensitivity Analysis — Data Table: Gross Profit by Price and Quantity</t>
        </is>
      </c>
    </row>
    <row r="2">
      <c r="A2" s="2" t="inlineStr">
        <is>
          <t>Source: 36 Month Pro Forma FY1  |  AD715 BSIM Project</t>
        </is>
      </c>
    </row>
    <row r="4">
      <c r="A4" s="3" t="inlineStr">
        <is>
          <t>INPUTS  (blue = hardcoded, change to test scenarios)</t>
        </is>
      </c>
    </row>
    <row r="5">
      <c r="A5" s="4" t="inlineStr">
        <is>
          <t>Total Fixed Cost FY1 ($)</t>
        </is>
      </c>
      <c r="B5" s="5" t="n">
        <v>999999</v>
      </c>
      <c r="C5" s="7" t="inlineStr">
        <is>
          <t>&lt;- Fixed Cost input</t>
        </is>
      </c>
    </row>
    <row r="6">
      <c r="A6" s="4" t="inlineStr">
        <is>
          <t>Variable Cost per Pint ($)</t>
        </is>
      </c>
      <c r="B6" s="5" t="n">
        <v>0.92</v>
      </c>
      <c r="C6" s="7" t="inlineStr">
        <is>
          <t>&lt;- Varies in Cost tables</t>
        </is>
      </c>
    </row>
    <row r="7">
      <c r="A7" s="4" t="inlineStr">
        <is>
          <t>Average Revenue per Pint ($)</t>
        </is>
      </c>
      <c r="B7" s="5" t="n">
        <v>3.62</v>
      </c>
      <c r="C7" s="7" t="inlineStr">
        <is>
          <t>&lt;- Varies in Price tables</t>
        </is>
      </c>
    </row>
    <row r="8">
      <c r="A8" s="4" t="inlineStr">
        <is>
          <t>Total Quantity Sold (pints)</t>
        </is>
      </c>
      <c r="B8" s="13" t="n">
        <v>2344334</v>
      </c>
      <c r="C8" s="7" t="inlineStr">
        <is>
          <t>&lt;- Mid value for Qty series</t>
        </is>
      </c>
    </row>
    <row r="10">
      <c r="A10" s="8">
        <f>(B7-B6)*B8-B5</f>
        <v/>
      </c>
      <c r="B10" s="14" t="n">
        <v>1641033.8</v>
      </c>
      <c r="C10" s="14" t="n">
        <v>1875467.2</v>
      </c>
      <c r="D10" s="14" t="n">
        <v>2109900.6</v>
      </c>
      <c r="E10" s="14" t="n">
        <v>2344334</v>
      </c>
      <c r="F10" s="14" t="n">
        <v>2578767.4</v>
      </c>
      <c r="G10" s="14" t="n">
        <v>2813200.8</v>
      </c>
      <c r="H10" s="14" t="n">
        <v>3047634.2</v>
      </c>
    </row>
    <row r="11">
      <c r="A11" s="15" t="n">
        <v>2.534</v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15" t="n">
        <v>2.896</v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15" t="n">
        <v>3.258</v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15" t="n">
        <v>3.62</v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15" t="n">
        <v>3.982</v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15" t="n">
        <v>4.344</v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15" t="n">
        <v>4.706</v>
      </c>
      <c r="B17" s="16" t="n"/>
      <c r="C17" s="16" t="n"/>
      <c r="D17" s="16" t="n"/>
      <c r="E17" s="16" t="n"/>
      <c r="F17" s="16" t="n"/>
      <c r="G17" s="16" t="n"/>
      <c r="H17" s="16" t="n"/>
    </row>
    <row r="19" ht="24" customHeight="1">
      <c r="A19" s="10" t="inlineStr">
        <is>
          <t>HOW TO RUN DATA TABLE — Table 1: Price x Quantity</t>
        </is>
      </c>
    </row>
    <row r="20">
      <c r="A20" s="11" t="inlineStr">
        <is>
          <t>Step 1</t>
        </is>
      </c>
      <c r="B20" s="12" t="inlineStr">
        <is>
          <t>Select table range A10:H17</t>
        </is>
      </c>
    </row>
    <row r="21">
      <c r="A21" s="11" t="inlineStr">
        <is>
          <t>Step 2</t>
        </is>
      </c>
      <c r="B21" s="12" t="inlineStr">
        <is>
          <t>Go to Data tab → What-If Analysis → Data Table</t>
        </is>
      </c>
    </row>
    <row r="22">
      <c r="A22" s="11" t="inlineStr">
        <is>
          <t>Step 3</t>
        </is>
      </c>
      <c r="B22" s="12" t="inlineStr">
        <is>
          <t>Row input cell: B7 (Average Revenue per Pint)</t>
        </is>
      </c>
    </row>
    <row r="23">
      <c r="A23" s="11" t="inlineStr">
        <is>
          <t>Step 4</t>
        </is>
      </c>
      <c r="B23" s="12" t="inlineStr">
        <is>
          <t>Column input cell: B8 (Total Quantity Sold)</t>
        </is>
      </c>
    </row>
    <row r="24">
      <c r="A24" s="11" t="inlineStr">
        <is>
          <t>Step 5</t>
        </is>
      </c>
      <c r="B24" s="12" t="inlineStr">
        <is>
          <t>Click OK — Excel fills all blank cells automatically</t>
        </is>
      </c>
    </row>
    <row r="25">
      <c r="A25" s="11" t="inlineStr">
        <is>
          <t>Step 6</t>
        </is>
      </c>
      <c r="B25" s="12" t="inlineStr">
        <is>
          <t>Find the row matching your price and read across to find break even quantity</t>
        </is>
      </c>
    </row>
    <row r="27">
      <c r="A27" s="8">
        <f>(B7-B6)*B8-B5</f>
        <v/>
      </c>
      <c r="B27" s="14" t="n">
        <v>1641033.8</v>
      </c>
      <c r="C27" s="14" t="n">
        <v>1875467.2</v>
      </c>
      <c r="D27" s="14" t="n">
        <v>2109900.6</v>
      </c>
      <c r="E27" s="14" t="n">
        <v>2344334</v>
      </c>
      <c r="F27" s="14" t="n">
        <v>2578767.4</v>
      </c>
      <c r="G27" s="14" t="n">
        <v>2813200.8</v>
      </c>
      <c r="H27" s="14" t="n">
        <v>3047634.2</v>
      </c>
    </row>
    <row r="28">
      <c r="A28" s="15" t="n">
        <v>0.644</v>
      </c>
      <c r="B28" s="16" t="n"/>
      <c r="C28" s="16" t="n"/>
      <c r="D28" s="16" t="n"/>
      <c r="E28" s="16" t="n"/>
      <c r="F28" s="16" t="n"/>
      <c r="G28" s="16" t="n"/>
      <c r="H28" s="16" t="n"/>
    </row>
    <row r="29">
      <c r="A29" s="15" t="n">
        <v>0.736</v>
      </c>
      <c r="B29" s="16" t="n"/>
      <c r="C29" s="16" t="n"/>
      <c r="D29" s="16" t="n"/>
      <c r="E29" s="16" t="n"/>
      <c r="F29" s="16" t="n"/>
      <c r="G29" s="16" t="n"/>
      <c r="H29" s="16" t="n"/>
    </row>
    <row r="30">
      <c r="A30" s="15" t="n">
        <v>0.828</v>
      </c>
      <c r="B30" s="16" t="n"/>
      <c r="C30" s="16" t="n"/>
      <c r="D30" s="16" t="n"/>
      <c r="E30" s="16" t="n"/>
      <c r="F30" s="16" t="n"/>
      <c r="G30" s="16" t="n"/>
      <c r="H30" s="16" t="n"/>
    </row>
    <row r="31">
      <c r="A31" s="15" t="n">
        <v>0.92</v>
      </c>
      <c r="B31" s="16" t="n"/>
      <c r="C31" s="16" t="n"/>
      <c r="D31" s="16" t="n"/>
      <c r="E31" s="16" t="n"/>
      <c r="F31" s="16" t="n"/>
      <c r="G31" s="16" t="n"/>
      <c r="H31" s="16" t="n"/>
    </row>
    <row r="32">
      <c r="A32" s="15" t="n">
        <v>1.012</v>
      </c>
      <c r="B32" s="16" t="n"/>
      <c r="C32" s="16" t="n"/>
      <c r="D32" s="16" t="n"/>
      <c r="E32" s="16" t="n"/>
      <c r="F32" s="16" t="n"/>
      <c r="G32" s="16" t="n"/>
      <c r="H32" s="16" t="n"/>
    </row>
    <row r="33">
      <c r="A33" s="15" t="n">
        <v>1.104</v>
      </c>
      <c r="B33" s="16" t="n"/>
      <c r="C33" s="16" t="n"/>
      <c r="D33" s="16" t="n"/>
      <c r="E33" s="16" t="n"/>
      <c r="F33" s="16" t="n"/>
      <c r="G33" s="16" t="n"/>
      <c r="H33" s="16" t="n"/>
    </row>
    <row r="34">
      <c r="A34" s="15" t="n">
        <v>1.196</v>
      </c>
      <c r="B34" s="16" t="n"/>
      <c r="C34" s="16" t="n"/>
      <c r="D34" s="16" t="n"/>
      <c r="E34" s="16" t="n"/>
      <c r="F34" s="16" t="n"/>
      <c r="G34" s="16" t="n"/>
      <c r="H34" s="16" t="n"/>
    </row>
    <row r="36" ht="24" customHeight="1">
      <c r="A36" s="10" t="inlineStr">
        <is>
          <t>HOW TO RUN DATA TABLE — Table 2: Cost x Quantity</t>
        </is>
      </c>
    </row>
    <row r="37">
      <c r="A37" s="11" t="inlineStr">
        <is>
          <t>Step 1</t>
        </is>
      </c>
      <c r="B37" s="12" t="inlineStr">
        <is>
          <t>Select table range A27:H34</t>
        </is>
      </c>
    </row>
    <row r="38">
      <c r="A38" s="11" t="inlineStr">
        <is>
          <t>Step 2</t>
        </is>
      </c>
      <c r="B38" s="12" t="inlineStr">
        <is>
          <t>Go to Data tab → What-If Analysis → Data Table</t>
        </is>
      </c>
    </row>
    <row r="39">
      <c r="A39" s="11" t="inlineStr">
        <is>
          <t>Step 3</t>
        </is>
      </c>
      <c r="B39" s="12" t="inlineStr">
        <is>
          <t>Row input cell: B6 (Variable Cost per Pint — varies down rows)</t>
        </is>
      </c>
    </row>
    <row r="40">
      <c r="A40" s="11" t="inlineStr">
        <is>
          <t>Step 4</t>
        </is>
      </c>
      <c r="B40" s="12" t="inlineStr">
        <is>
          <t>Column input cell: B8 (Total Quantity Sold — varies across columns)</t>
        </is>
      </c>
    </row>
    <row r="41">
      <c r="A41" s="11" t="inlineStr">
        <is>
          <t>Step 5</t>
        </is>
      </c>
      <c r="B41" s="12" t="inlineStr">
        <is>
          <t>Click OK — Excel fills all blank cells automatically</t>
        </is>
      </c>
    </row>
    <row r="42">
      <c r="A42" s="11" t="inlineStr">
        <is>
          <t>Step 6</t>
        </is>
      </c>
      <c r="B42" s="12" t="inlineStr">
        <is>
          <t>Find the row matching your cost and read across to see how quantity affects profit</t>
        </is>
      </c>
    </row>
    <row r="44">
      <c r="A44" s="8">
        <f>(B7-B6)*B8-B5</f>
        <v/>
      </c>
      <c r="B44" s="15" t="n">
        <v>2.534</v>
      </c>
      <c r="C44" s="15" t="n">
        <v>2.896</v>
      </c>
      <c r="D44" s="15" t="n">
        <v>3.258</v>
      </c>
      <c r="E44" s="15" t="n">
        <v>3.62</v>
      </c>
      <c r="F44" s="15" t="n">
        <v>3.982</v>
      </c>
      <c r="G44" s="15" t="n">
        <v>4.344</v>
      </c>
      <c r="H44" s="15" t="n">
        <v>4.706</v>
      </c>
    </row>
    <row r="45">
      <c r="A45" s="15" t="n">
        <v>0.644</v>
      </c>
      <c r="B45" s="16" t="n"/>
      <c r="C45" s="16" t="n"/>
      <c r="D45" s="16" t="n"/>
      <c r="E45" s="16" t="n"/>
      <c r="F45" s="16" t="n"/>
      <c r="G45" s="16" t="n"/>
      <c r="H45" s="16" t="n"/>
    </row>
    <row r="46">
      <c r="A46" s="15" t="n">
        <v>0.736</v>
      </c>
      <c r="B46" s="16" t="n"/>
      <c r="C46" s="16" t="n"/>
      <c r="D46" s="16" t="n"/>
      <c r="E46" s="16" t="n"/>
      <c r="F46" s="16" t="n"/>
      <c r="G46" s="16" t="n"/>
      <c r="H46" s="16" t="n"/>
    </row>
    <row r="47">
      <c r="A47" s="15" t="n">
        <v>0.828</v>
      </c>
      <c r="B47" s="16" t="n"/>
      <c r="C47" s="16" t="n"/>
      <c r="D47" s="16" t="n"/>
      <c r="E47" s="16" t="n"/>
      <c r="F47" s="16" t="n"/>
      <c r="G47" s="16" t="n"/>
      <c r="H47" s="16" t="n"/>
    </row>
    <row r="48">
      <c r="A48" s="15" t="n">
        <v>0.92</v>
      </c>
      <c r="B48" s="16" t="n"/>
      <c r="C48" s="16" t="n"/>
      <c r="D48" s="16" t="n"/>
      <c r="E48" s="16" t="n"/>
      <c r="F48" s="16" t="n"/>
      <c r="G48" s="16" t="n"/>
      <c r="H48" s="16" t="n"/>
    </row>
    <row r="49">
      <c r="A49" s="15" t="n">
        <v>1.012</v>
      </c>
      <c r="B49" s="16" t="n"/>
      <c r="C49" s="16" t="n"/>
      <c r="D49" s="16" t="n"/>
      <c r="E49" s="16" t="n"/>
      <c r="F49" s="16" t="n"/>
      <c r="G49" s="16" t="n"/>
      <c r="H49" s="16" t="n"/>
    </row>
    <row r="50">
      <c r="A50" s="15" t="n">
        <v>1.104</v>
      </c>
      <c r="B50" s="16" t="n"/>
      <c r="C50" s="16" t="n"/>
      <c r="D50" s="16" t="n"/>
      <c r="E50" s="16" t="n"/>
      <c r="F50" s="16" t="n"/>
      <c r="G50" s="16" t="n"/>
      <c r="H50" s="16" t="n"/>
    </row>
    <row r="51">
      <c r="A51" s="15" t="n">
        <v>1.196</v>
      </c>
      <c r="B51" s="16" t="n"/>
      <c r="C51" s="16" t="n"/>
      <c r="D51" s="16" t="n"/>
      <c r="E51" s="16" t="n"/>
      <c r="F51" s="16" t="n"/>
      <c r="G51" s="16" t="n"/>
      <c r="H51" s="16" t="n"/>
    </row>
    <row r="53" ht="24" customHeight="1">
      <c r="A53" s="10" t="inlineStr">
        <is>
          <t>HOW TO RUN DATA TABLE — Table 3: Price x Cost</t>
        </is>
      </c>
    </row>
    <row r="54">
      <c r="A54" s="11" t="inlineStr">
        <is>
          <t>Step 1</t>
        </is>
      </c>
      <c r="B54" s="12" t="inlineStr">
        <is>
          <t>Select table range A44:H51</t>
        </is>
      </c>
    </row>
    <row r="55">
      <c r="A55" s="11" t="inlineStr">
        <is>
          <t>Step 2</t>
        </is>
      </c>
      <c r="B55" s="12" t="inlineStr">
        <is>
          <t>Go to Data tab → What-If Analysis → Data Table</t>
        </is>
      </c>
    </row>
    <row r="56">
      <c r="A56" s="11" t="inlineStr">
        <is>
          <t>Step 3</t>
        </is>
      </c>
      <c r="B56" s="12" t="inlineStr">
        <is>
          <t>Row input cell: B6 (Variable Cost per Pint)</t>
        </is>
      </c>
    </row>
    <row r="57">
      <c r="A57" s="11" t="inlineStr">
        <is>
          <t>Step 4</t>
        </is>
      </c>
      <c r="B57" s="12" t="inlineStr">
        <is>
          <t>Column input cell: B7 (Average Revenue per Pint)</t>
        </is>
      </c>
    </row>
    <row r="58">
      <c r="A58" s="11" t="inlineStr">
        <is>
          <t>Step 5</t>
        </is>
      </c>
      <c r="B58" s="12" t="inlineStr">
        <is>
          <t>Click OK — Excel fills all blank cells automatically</t>
        </is>
      </c>
    </row>
    <row r="59">
      <c r="A59" s="11" t="inlineStr">
        <is>
          <t>Step 6</t>
        </is>
      </c>
      <c r="B59" s="12" t="inlineStr">
        <is>
          <t>Find the intersection where margin is healthiest given your cost structure</t>
        </is>
      </c>
    </row>
  </sheetData>
  <mergeCells count="24">
    <mergeCell ref="B54:C54"/>
    <mergeCell ref="B25:C25"/>
    <mergeCell ref="B59:C59"/>
    <mergeCell ref="B22:C22"/>
    <mergeCell ref="B56:C56"/>
    <mergeCell ref="A2:C2"/>
    <mergeCell ref="B58:C58"/>
    <mergeCell ref="B39:C39"/>
    <mergeCell ref="B21:C21"/>
    <mergeCell ref="B42:C42"/>
    <mergeCell ref="B23:C23"/>
    <mergeCell ref="A53:C53"/>
    <mergeCell ref="A4:C4"/>
    <mergeCell ref="B57:C57"/>
    <mergeCell ref="B38:C38"/>
    <mergeCell ref="A19:C19"/>
    <mergeCell ref="B37:C37"/>
    <mergeCell ref="B40:C40"/>
    <mergeCell ref="B55:C55"/>
    <mergeCell ref="B24:C24"/>
    <mergeCell ref="A36:C36"/>
    <mergeCell ref="A1:C1"/>
    <mergeCell ref="B20:C20"/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2026-06-11T00:08:00Z</dcterms:created>
  <dcterms:modified xmlns:dcterms="http://purl.org/dc/terms/" xmlns:xsi="http://www.w3.org/2001/XMLSchema-instance" xsi:type="dcterms:W3CDTF">2026-06-11T00:08:01Z</dcterms:modified>
</cp:coreProperties>
</file>